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每人时长汇总" sheetId="1" state="visible" r:id="rId3"/>
    <sheet name="明细数据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<sst xmlns="http://schemas.openxmlformats.org/spreadsheetml/2006/main" count="234" uniqueCount="47">
  <si>
    <t xml:space="preserve">采集员</t>
  </si>
  <si>
    <r>
      <rPr>
        <b val="true"/>
        <sz val="11"/>
        <color rgb="FFFFFFFF"/>
        <rFont val="Noto Sans CJK SC"/>
        <family val="2"/>
      </rPr>
      <t xml:space="preserve">采集上传时长合计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</si>
  <si>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有效时长合计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</si>
  <si>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无效时长合计</t>
    </r>
    <r>
      <rPr>
        <b val="true"/>
        <sz val="11"/>
        <color rgb="FFFFFFFF"/>
        <rFont val="Arial"/>
        <family val="0"/>
        <charset val="1"/>
      </rPr>
      <t xml:space="preserve">(h)</t>
    </r>
  </si>
  <si>
    <t xml:space="preserve">记录条数</t>
  </si>
  <si>
    <t xml:space="preserve">张月</t>
  </si>
  <si>
    <t xml:space="preserve">季洁</t>
  </si>
  <si>
    <t xml:space="preserve">王松林</t>
  </si>
  <si>
    <t xml:space="preserve">农业易</t>
  </si>
  <si>
    <r>
      <rPr>
        <sz val="11"/>
        <rFont val="Noto Sans CJK SC"/>
        <family val="2"/>
      </rPr>
      <t xml:space="preserve">张月</t>
    </r>
    <r>
      <rPr>
        <sz val="11"/>
        <rFont val="Arial"/>
        <family val="0"/>
        <charset val="1"/>
      </rPr>
      <t xml:space="preserve">2</t>
    </r>
  </si>
  <si>
    <r>
      <rPr>
        <sz val="11"/>
        <rFont val="Arial"/>
        <family val="0"/>
        <charset val="1"/>
      </rPr>
      <t xml:space="preserve">JZ</t>
    </r>
    <r>
      <rPr>
        <sz val="11"/>
        <rFont val="Noto Sans CJK SC"/>
        <family val="2"/>
      </rPr>
      <t xml:space="preserve">倪秀芹</t>
    </r>
  </si>
  <si>
    <r>
      <rPr>
        <sz val="11"/>
        <rFont val="Noto Sans CJK SC"/>
        <family val="2"/>
      </rPr>
      <t xml:space="preserve">湛</t>
    </r>
    <r>
      <rPr>
        <sz val="11"/>
        <rFont val="Arial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</si>
  <si>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湛</t>
    </r>
    <r>
      <rPr>
        <sz val="11"/>
        <rFont val="Arial"/>
        <family val="0"/>
        <charset val="1"/>
      </rPr>
      <t xml:space="preserve">1</t>
    </r>
  </si>
  <si>
    <t xml:space="preserve">泽农</t>
  </si>
  <si>
    <t xml:space="preserve">家采易</t>
  </si>
  <si>
    <t xml:space="preserve">总计</t>
  </si>
  <si>
    <t xml:space="preserve">日期</t>
  </si>
  <si>
    <t xml:space="preserve">类别</t>
  </si>
  <si>
    <t xml:space="preserve">采集模式</t>
  </si>
  <si>
    <r>
      <rPr>
        <b val="true"/>
        <sz val="11"/>
        <color rgb="FFFFFFFF"/>
        <rFont val="Noto Sans CJK SC"/>
        <family val="2"/>
      </rPr>
      <t xml:space="preserve">采集上传时长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</si>
  <si>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配对成功时长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</si>
  <si>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Arial"/>
        <family val="0"/>
        <charset val="1"/>
      </rPr>
      <t xml:space="preserve">QC</t>
    </r>
    <r>
      <rPr>
        <b val="true"/>
        <sz val="11"/>
        <color rgb="FFFFFFFF"/>
        <rFont val="Noto Sans CJK SC"/>
        <family val="2"/>
      </rPr>
      <t xml:space="preserve">失败时长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</si>
  <si>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质检错误时长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</si>
  <si>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质检提示时长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</si>
  <si>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有效时长</t>
    </r>
    <r>
      <rPr>
        <b val="true"/>
        <sz val="11"/>
        <color rgb="FFFFFFFF"/>
        <rFont val="Arial"/>
        <family val="0"/>
        <charset val="1"/>
      </rPr>
      <t xml:space="preserve">(h)</t>
    </r>
  </si>
  <si>
    <t xml:space="preserve">2026/9/9</t>
  </si>
  <si>
    <t xml:space="preserve">EGO</t>
  </si>
  <si>
    <t xml:space="preserve">商采</t>
  </si>
  <si>
    <t xml:space="preserve">居家其他</t>
  </si>
  <si>
    <t xml:space="preserve">2026/9/10</t>
  </si>
  <si>
    <t xml:space="preserve">2026/9/12</t>
  </si>
  <si>
    <t xml:space="preserve">2026/9/15</t>
  </si>
  <si>
    <t xml:space="preserve">2026/9/16</t>
  </si>
  <si>
    <t xml:space="preserve">2026/9/17</t>
  </si>
  <si>
    <t xml:space="preserve">2026/9/18</t>
  </si>
  <si>
    <t xml:space="preserve">2026/9/19</t>
  </si>
  <si>
    <t xml:space="preserve">2026/9/20</t>
  </si>
  <si>
    <t xml:space="preserve">2026/9/21</t>
  </si>
  <si>
    <t xml:space="preserve">2026/9/22</t>
  </si>
  <si>
    <t xml:space="preserve">2026/9/23</t>
  </si>
  <si>
    <t xml:space="preserve">2026/9/24</t>
  </si>
  <si>
    <t xml:space="preserve">2026/9/25</t>
  </si>
  <si>
    <t xml:space="preserve">2026/9/26</t>
  </si>
  <si>
    <t xml:space="preserve">2026/9/27</t>
  </si>
  <si>
    <t xml:space="preserve">2026/9/28</t>
  </si>
  <si>
    <t xml:space="preserve">2026/9/29</t>
  </si>
  <si>
    <t xml:space="preserve">2026/9/30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</si>
</sst>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2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f aca="false">SUMIF(明细数据!$D:$D,$A2,明细数据!$E:$E)</f>
        <v>36.09</v>
      </c>
      <c r="C2" s="3" t="n">
        <f aca="false">SUMIF(明细数据!$D:$D,$A2,明细数据!$J:$J)</f>
        <v>35.68</v>
      </c>
      <c r="D2" s="3" t="n">
        <f aca="false">B2-C2</f>
        <v>0.409999999999997</v>
      </c>
      <c r="E2" s="4" t="n">
        <f aca="false">COUNTIF(明细数据!$D:$D,$A2)</f>
        <v>14</v>
      </c>
    </row>
    <row r="3" customFormat="false" ht="15" hidden="false" customHeight="false" outlineLevel="0" collapsed="false">
      <c r="A3" s="5" t="s">
        <v>6</v>
      </c>
      <c r="B3" s="6" t="n">
        <f aca="false">SUMIF(明细数据!$D:$D,$A3,明细数据!$E:$E)</f>
        <v>18.51</v>
      </c>
      <c r="C3" s="6" t="n">
        <f aca="false">SUMIF(明细数据!$D:$D,$A3,明细数据!$J:$J)</f>
        <v>18.42</v>
      </c>
      <c r="D3" s="6" t="n">
        <f aca="false">B3-C3</f>
        <v>0.0899999999999999</v>
      </c>
      <c r="E3" s="7" t="n">
        <f aca="false">COUNTIF(明细数据!$D:$D,$A3)</f>
        <v>17</v>
      </c>
    </row>
    <row r="4" customFormat="false" ht="15" hidden="false" customHeight="false" outlineLevel="0" collapsed="false">
      <c r="A4" s="2" t="s">
        <v>7</v>
      </c>
      <c r="B4" s="3" t="n">
        <f aca="false">SUMIF(明细数据!$D:$D,$A4,明细数据!$E:$E)</f>
        <v>17.59</v>
      </c>
      <c r="C4" s="3" t="n">
        <f aca="false">SUMIF(明细数据!$D:$D,$A4,明细数据!$J:$J)</f>
        <v>14.91</v>
      </c>
      <c r="D4" s="3" t="n">
        <f aca="false">B4-C4</f>
        <v>2.68</v>
      </c>
      <c r="E4" s="4" t="n">
        <f aca="false">COUNTIF(明细数据!$D:$D,$A4)</f>
        <v>4</v>
      </c>
    </row>
    <row r="5" customFormat="false" ht="15" hidden="false" customHeight="false" outlineLevel="0" collapsed="false">
      <c r="A5" s="5" t="s">
        <v>8</v>
      </c>
      <c r="B5" s="6" t="n">
        <f aca="false">SUMIF(明细数据!$D:$D,$A5,明细数据!$E:$E)</f>
        <v>11.22</v>
      </c>
      <c r="C5" s="6" t="n">
        <f aca="false">SUMIF(明细数据!$D:$D,$A5,明细数据!$J:$J)</f>
        <v>7.52</v>
      </c>
      <c r="D5" s="6" t="n">
        <f aca="false">B5-C5</f>
        <v>3.7</v>
      </c>
      <c r="E5" s="7" t="n">
        <f aca="false">COUNTIF(明细数据!$D:$D,$A5)</f>
        <v>4</v>
      </c>
    </row>
    <row r="6" customFormat="false" ht="17.15" hidden="false" customHeight="false" outlineLevel="0" collapsed="false">
      <c r="A6" s="2" t="s">
        <v>9</v>
      </c>
      <c r="B6" s="3" t="n">
        <f aca="false">SUMIF(明细数据!$D:$D,$A6,明细数据!$E:$E)</f>
        <v>4.09</v>
      </c>
      <c r="C6" s="3" t="n">
        <f aca="false">SUMIF(明细数据!$D:$D,$A6,明细数据!$J:$J)</f>
        <v>4.09</v>
      </c>
      <c r="D6" s="3" t="n">
        <f aca="false">B6-C6</f>
        <v>0</v>
      </c>
      <c r="E6" s="4" t="n">
        <f aca="false">COUNTIF(明细数据!$D:$D,$A6)</f>
        <v>3</v>
      </c>
    </row>
    <row r="7" customFormat="false" ht="17.15" hidden="false" customHeight="false" outlineLevel="0" collapsed="false">
      <c r="A7" s="8" t="s">
        <v>10</v>
      </c>
      <c r="B7" s="6" t="n">
        <f aca="false">SUMIF(明细数据!$D:$D,$A7,明细数据!$E:$E)</f>
        <v>3.98</v>
      </c>
      <c r="C7" s="6" t="n">
        <f aca="false">SUMIF(明细数据!$D:$D,$A7,明细数据!$J:$J)</f>
        <v>3.55</v>
      </c>
      <c r="D7" s="6" t="n">
        <f aca="false">B7-C7</f>
        <v>0.43</v>
      </c>
      <c r="E7" s="7" t="n">
        <f aca="false">COUNTIF(明细数据!$D:$D,$A7)</f>
        <v>2</v>
      </c>
    </row>
    <row r="8" customFormat="false" ht="17.15" hidden="false" customHeight="false" outlineLevel="0" collapsed="false">
      <c r="A8" s="2" t="s">
        <v>11</v>
      </c>
      <c r="B8" s="3" t="n">
        <f aca="false">SUMIF(明细数据!$D:$D,$A8,明细数据!$E:$E)</f>
        <v>2.54</v>
      </c>
      <c r="C8" s="3" t="n">
        <f aca="false">SUMIF(明细数据!$D:$D,$A8,明细数据!$J:$J)</f>
        <v>0.73</v>
      </c>
      <c r="D8" s="3" t="n">
        <f aca="false">B8-C8</f>
        <v>1.81</v>
      </c>
      <c r="E8" s="4" t="n">
        <f aca="false">COUNTIF(明细数据!$D:$D,$A8)</f>
        <v>3</v>
      </c>
    </row>
    <row r="9" customFormat="false" ht="17.15" hidden="false" customHeight="false" outlineLevel="0" collapsed="false">
      <c r="A9" s="5" t="s">
        <v>12</v>
      </c>
      <c r="B9" s="6" t="n">
        <f aca="false">SUMIF(明细数据!$D:$D,$A9,明细数据!$E:$E)</f>
        <v>4.05</v>
      </c>
      <c r="C9" s="6" t="n">
        <f aca="false">SUMIF(明细数据!$D:$D,$A9,明细数据!$J:$J)</f>
        <v>0.31</v>
      </c>
      <c r="D9" s="6" t="n">
        <f aca="false">B9-C9</f>
        <v>3.74</v>
      </c>
      <c r="E9" s="7" t="n">
        <f aca="false">COUNTIF(明细数据!$D:$D,$A9)</f>
        <v>3</v>
      </c>
    </row>
    <row r="10" customFormat="false" ht="15" hidden="false" customHeight="false" outlineLevel="0" collapsed="false">
      <c r="A10" s="2" t="s">
        <v>13</v>
      </c>
      <c r="B10" s="3" t="n">
        <f aca="false">SUMIF(明细数据!$D:$D,$A10,明细数据!$E:$E)</f>
        <v>0.18</v>
      </c>
      <c r="C10" s="3" t="n">
        <f aca="false">SUMIF(明细数据!$D:$D,$A10,明细数据!$J:$J)</f>
        <v>0.05</v>
      </c>
      <c r="D10" s="3" t="n">
        <f aca="false">B10-C10</f>
        <v>0.13</v>
      </c>
      <c r="E10" s="4" t="n">
        <f aca="false">COUNTIF(明细数据!$D:$D,$A10)</f>
        <v>1</v>
      </c>
    </row>
    <row r="11" customFormat="false" ht="15" hidden="false" customHeight="false" outlineLevel="0" collapsed="false">
      <c r="A11" s="5" t="s">
        <v>14</v>
      </c>
      <c r="B11" s="6" t="n">
        <f aca="false">SUMIF(明细数据!$D:$D,$A11,明细数据!$E:$E)</f>
        <v>1.16</v>
      </c>
      <c r="C11" s="6" t="n">
        <f aca="false">SUMIF(明细数据!$D:$D,$A11,明细数据!$J:$J)</f>
        <v>0</v>
      </c>
      <c r="D11" s="6" t="n">
        <f aca="false">B11-C11</f>
        <v>1.16</v>
      </c>
      <c r="E11" s="7" t="n">
        <f aca="false">COUNTIF(明细数据!$D:$D,$A11)</f>
        <v>1</v>
      </c>
    </row>
    <row r="12" customFormat="false" ht="15" hidden="false" customHeight="false" outlineLevel="0" collapsed="false">
      <c r="A12" s="9" t="s">
        <v>15</v>
      </c>
      <c r="B12" s="10" t="n">
        <f aca="false">SUM(B2:B11)</f>
        <v>99.41</v>
      </c>
      <c r="C12" s="10" t="n">
        <f aca="false">SUM(C2:C11)</f>
        <v>85.26</v>
      </c>
      <c r="D12" s="10" t="n">
        <f aca="false">SUM(D2:D11)</f>
        <v>14.15</v>
      </c>
      <c r="E12" s="11" t="n">
        <f aca="false">SUM(E2:E11)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17.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0</v>
      </c>
      <c r="E1" s="1" t="s">
        <v>19</v>
      </c>
      <c r="F1" s="1" t="s">
        <v>20</v>
      </c>
      <c r="G1" s="12" t="s">
        <v>21</v>
      </c>
      <c r="H1" s="1" t="s">
        <v>22</v>
      </c>
      <c r="I1" s="1" t="s">
        <v>23</v>
      </c>
      <c r="J1" s="1" t="s">
        <v>24</v>
      </c>
    </row>
    <row r="2" customFormat="false" ht="17.15" hidden="false" customHeight="false" outlineLevel="0" collapsed="false">
      <c r="A2" s="13" t="s">
        <v>25</v>
      </c>
      <c r="B2" s="13" t="s">
        <v>26</v>
      </c>
      <c r="C2" s="2" t="s">
        <v>27</v>
      </c>
      <c r="D2" s="2" t="s">
        <v>11</v>
      </c>
      <c r="E2" s="14" t="n">
        <v>0.35</v>
      </c>
      <c r="F2" s="14"/>
      <c r="G2" s="14" t="n">
        <v>0</v>
      </c>
      <c r="H2" s="14" t="n">
        <v>0.06</v>
      </c>
      <c r="I2" s="14" t="n">
        <v>0</v>
      </c>
      <c r="J2" s="14" t="n">
        <v>0.29</v>
      </c>
    </row>
    <row r="3" customFormat="false" ht="17.15" hidden="false" customHeight="false" outlineLevel="0" collapsed="false">
      <c r="A3" s="8" t="s">
        <v>25</v>
      </c>
      <c r="B3" s="8" t="s">
        <v>26</v>
      </c>
      <c r="C3" s="5" t="s">
        <v>28</v>
      </c>
      <c r="D3" s="5" t="s">
        <v>12</v>
      </c>
      <c r="E3" s="15" t="n">
        <v>0.15</v>
      </c>
      <c r="F3" s="15"/>
      <c r="G3" s="15" t="n">
        <v>0</v>
      </c>
      <c r="H3" s="15" t="n">
        <v>0.07</v>
      </c>
      <c r="I3" s="15" t="n">
        <v>0</v>
      </c>
      <c r="J3" s="15" t="n">
        <v>0.08</v>
      </c>
    </row>
    <row r="4" customFormat="false" ht="15" hidden="false" customHeight="false" outlineLevel="0" collapsed="false">
      <c r="A4" s="13" t="s">
        <v>29</v>
      </c>
      <c r="B4" s="13" t="s">
        <v>26</v>
      </c>
      <c r="C4" s="2" t="s">
        <v>27</v>
      </c>
      <c r="D4" s="2" t="s">
        <v>13</v>
      </c>
      <c r="E4" s="14" t="n">
        <v>0.18</v>
      </c>
      <c r="F4" s="14"/>
      <c r="G4" s="14" t="n">
        <v>0</v>
      </c>
      <c r="H4" s="14" t="n">
        <v>0.13</v>
      </c>
      <c r="I4" s="14" t="n">
        <v>0</v>
      </c>
      <c r="J4" s="14" t="n">
        <v>0.05</v>
      </c>
    </row>
    <row r="5" customFormat="false" ht="17.15" hidden="false" customHeight="false" outlineLevel="0" collapsed="false">
      <c r="A5" s="8" t="s">
        <v>29</v>
      </c>
      <c r="B5" s="8" t="s">
        <v>26</v>
      </c>
      <c r="C5" s="5" t="s">
        <v>27</v>
      </c>
      <c r="D5" s="5" t="s">
        <v>11</v>
      </c>
      <c r="E5" s="15" t="n">
        <v>1.63</v>
      </c>
      <c r="F5" s="15"/>
      <c r="G5" s="15" t="n">
        <v>0</v>
      </c>
      <c r="H5" s="15" t="n">
        <v>1.19</v>
      </c>
      <c r="I5" s="15" t="n">
        <v>0</v>
      </c>
      <c r="J5" s="15" t="n">
        <v>0.44</v>
      </c>
    </row>
    <row r="6" customFormat="false" ht="17.15" hidden="false" customHeight="false" outlineLevel="0" collapsed="false">
      <c r="A6" s="13" t="s">
        <v>30</v>
      </c>
      <c r="B6" s="13" t="s">
        <v>26</v>
      </c>
      <c r="C6" s="2" t="s">
        <v>27</v>
      </c>
      <c r="D6" s="2" t="s">
        <v>11</v>
      </c>
      <c r="E6" s="14" t="n">
        <v>0.56</v>
      </c>
      <c r="F6" s="14"/>
      <c r="G6" s="14" t="n">
        <v>0</v>
      </c>
      <c r="H6" s="14" t="n">
        <v>0.56</v>
      </c>
      <c r="I6" s="14" t="n">
        <v>0</v>
      </c>
      <c r="J6" s="14" t="n">
        <v>0</v>
      </c>
    </row>
    <row r="7" customFormat="false" ht="17.15" hidden="false" customHeight="false" outlineLevel="0" collapsed="false">
      <c r="A7" s="8" t="s">
        <v>31</v>
      </c>
      <c r="B7" s="8" t="s">
        <v>26</v>
      </c>
      <c r="C7" s="5" t="s">
        <v>28</v>
      </c>
      <c r="D7" s="5" t="s">
        <v>12</v>
      </c>
      <c r="E7" s="15" t="n">
        <v>2.35</v>
      </c>
      <c r="F7" s="15"/>
      <c r="G7" s="15" t="n">
        <v>0</v>
      </c>
      <c r="H7" s="15" t="n">
        <v>2.12</v>
      </c>
      <c r="I7" s="15" t="n">
        <v>0</v>
      </c>
      <c r="J7" s="15" t="n">
        <v>0.23</v>
      </c>
    </row>
    <row r="8" customFormat="false" ht="15" hidden="false" customHeight="false" outlineLevel="0" collapsed="false">
      <c r="A8" s="13" t="s">
        <v>32</v>
      </c>
      <c r="B8" s="13" t="s">
        <v>26</v>
      </c>
      <c r="C8" s="2" t="s">
        <v>28</v>
      </c>
      <c r="D8" s="2" t="s">
        <v>6</v>
      </c>
      <c r="E8" s="14" t="n">
        <v>0.09</v>
      </c>
      <c r="F8" s="14"/>
      <c r="G8" s="14" t="n">
        <v>0</v>
      </c>
      <c r="H8" s="14" t="n">
        <v>0</v>
      </c>
      <c r="I8" s="14" t="n">
        <v>0</v>
      </c>
      <c r="J8" s="14" t="n">
        <v>0.09</v>
      </c>
    </row>
    <row r="9" customFormat="false" ht="15" hidden="false" customHeight="false" outlineLevel="0" collapsed="false">
      <c r="A9" s="8" t="s">
        <v>32</v>
      </c>
      <c r="B9" s="8" t="s">
        <v>26</v>
      </c>
      <c r="C9" s="5" t="s">
        <v>28</v>
      </c>
      <c r="D9" s="5" t="s">
        <v>5</v>
      </c>
      <c r="E9" s="15" t="n">
        <v>0.21</v>
      </c>
      <c r="F9" s="15"/>
      <c r="G9" s="15" t="n">
        <v>0</v>
      </c>
      <c r="H9" s="15" t="n">
        <v>0</v>
      </c>
      <c r="I9" s="15" t="n">
        <v>0</v>
      </c>
      <c r="J9" s="15" t="n">
        <v>0.21</v>
      </c>
    </row>
    <row r="10" customFormat="false" ht="15" hidden="false" customHeight="false" outlineLevel="0" collapsed="false">
      <c r="A10" s="13" t="s">
        <v>33</v>
      </c>
      <c r="B10" s="13" t="s">
        <v>26</v>
      </c>
      <c r="C10" s="2" t="s">
        <v>28</v>
      </c>
      <c r="D10" s="2" t="s">
        <v>6</v>
      </c>
      <c r="E10" s="14" t="n">
        <v>1.57</v>
      </c>
      <c r="F10" s="14"/>
      <c r="G10" s="14" t="n">
        <v>0</v>
      </c>
      <c r="H10" s="14" t="n">
        <v>0</v>
      </c>
      <c r="I10" s="14" t="n">
        <v>0</v>
      </c>
      <c r="J10" s="14" t="n">
        <v>1.57</v>
      </c>
    </row>
    <row r="11" customFormat="false" ht="15" hidden="false" customHeight="false" outlineLevel="0" collapsed="false">
      <c r="A11" s="8" t="s">
        <v>33</v>
      </c>
      <c r="B11" s="8" t="s">
        <v>26</v>
      </c>
      <c r="C11" s="5" t="s">
        <v>28</v>
      </c>
      <c r="D11" s="5" t="s">
        <v>5</v>
      </c>
      <c r="E11" s="15" t="n">
        <v>2.84</v>
      </c>
      <c r="F11" s="15"/>
      <c r="G11" s="15" t="n">
        <v>0</v>
      </c>
      <c r="H11" s="15" t="n">
        <v>0.11</v>
      </c>
      <c r="I11" s="15" t="n">
        <v>0</v>
      </c>
      <c r="J11" s="15" t="n">
        <v>2.73</v>
      </c>
    </row>
    <row r="12" customFormat="false" ht="17.15" hidden="false" customHeight="false" outlineLevel="0" collapsed="false">
      <c r="A12" s="13" t="s">
        <v>33</v>
      </c>
      <c r="B12" s="13" t="s">
        <v>26</v>
      </c>
      <c r="C12" s="2" t="s">
        <v>28</v>
      </c>
      <c r="D12" s="2" t="s">
        <v>12</v>
      </c>
      <c r="E12" s="14" t="n">
        <v>1.55</v>
      </c>
      <c r="F12" s="14"/>
      <c r="G12" s="14" t="n">
        <v>1.14</v>
      </c>
      <c r="H12" s="14" t="n">
        <v>0.42</v>
      </c>
      <c r="I12" s="14" t="n">
        <v>0</v>
      </c>
      <c r="J12" s="14" t="n">
        <v>0</v>
      </c>
    </row>
    <row r="13" customFormat="false" ht="15" hidden="false" customHeight="false" outlineLevel="0" collapsed="false">
      <c r="A13" s="8" t="s">
        <v>34</v>
      </c>
      <c r="B13" s="8" t="s">
        <v>26</v>
      </c>
      <c r="C13" s="5" t="s">
        <v>28</v>
      </c>
      <c r="D13" s="5" t="s">
        <v>6</v>
      </c>
      <c r="E13" s="15" t="n">
        <v>1.72</v>
      </c>
      <c r="F13" s="15"/>
      <c r="G13" s="15" t="n">
        <v>0</v>
      </c>
      <c r="H13" s="15" t="n">
        <v>0</v>
      </c>
      <c r="I13" s="15" t="n">
        <v>0</v>
      </c>
      <c r="J13" s="15" t="n">
        <v>1.72</v>
      </c>
    </row>
    <row r="14" customFormat="false" ht="15" hidden="false" customHeight="false" outlineLevel="0" collapsed="false">
      <c r="A14" s="13" t="s">
        <v>34</v>
      </c>
      <c r="B14" s="13" t="s">
        <v>26</v>
      </c>
      <c r="C14" s="2" t="s">
        <v>28</v>
      </c>
      <c r="D14" s="2" t="s">
        <v>14</v>
      </c>
      <c r="E14" s="14" t="n">
        <v>1.16</v>
      </c>
      <c r="F14" s="14"/>
      <c r="G14" s="14" t="n">
        <v>0</v>
      </c>
      <c r="H14" s="14" t="n">
        <v>1.16</v>
      </c>
      <c r="I14" s="14" t="n">
        <v>0</v>
      </c>
      <c r="J14" s="14" t="n">
        <v>0</v>
      </c>
    </row>
    <row r="15" customFormat="false" ht="15" hidden="false" customHeight="false" outlineLevel="0" collapsed="false">
      <c r="A15" s="8" t="s">
        <v>34</v>
      </c>
      <c r="B15" s="8" t="s">
        <v>26</v>
      </c>
      <c r="C15" s="5" t="s">
        <v>28</v>
      </c>
      <c r="D15" s="5" t="s">
        <v>5</v>
      </c>
      <c r="E15" s="15" t="n">
        <v>3.64</v>
      </c>
      <c r="F15" s="15"/>
      <c r="G15" s="15" t="n">
        <v>0</v>
      </c>
      <c r="H15" s="15" t="n">
        <v>0</v>
      </c>
      <c r="I15" s="15" t="n">
        <v>0</v>
      </c>
      <c r="J15" s="15" t="n">
        <v>3.64</v>
      </c>
    </row>
    <row r="16" customFormat="false" ht="15" hidden="false" customHeight="false" outlineLevel="0" collapsed="false">
      <c r="A16" s="13" t="s">
        <v>35</v>
      </c>
      <c r="B16" s="13" t="s">
        <v>26</v>
      </c>
      <c r="C16" s="2" t="s">
        <v>27</v>
      </c>
      <c r="D16" s="2" t="s">
        <v>8</v>
      </c>
      <c r="E16" s="14" t="n">
        <v>4.74</v>
      </c>
      <c r="F16" s="14"/>
      <c r="G16" s="14" t="n">
        <v>0</v>
      </c>
      <c r="H16" s="14" t="n">
        <v>2.05</v>
      </c>
      <c r="I16" s="14" t="n">
        <v>0</v>
      </c>
      <c r="J16" s="14" t="n">
        <v>2.69</v>
      </c>
    </row>
    <row r="17" customFormat="false" ht="15" hidden="false" customHeight="false" outlineLevel="0" collapsed="false">
      <c r="A17" s="8" t="s">
        <v>35</v>
      </c>
      <c r="B17" s="8" t="s">
        <v>26</v>
      </c>
      <c r="C17" s="5" t="s">
        <v>28</v>
      </c>
      <c r="D17" s="5" t="s">
        <v>5</v>
      </c>
      <c r="E17" s="15" t="n">
        <v>2.57</v>
      </c>
      <c r="F17" s="15"/>
      <c r="G17" s="15" t="n">
        <v>0</v>
      </c>
      <c r="H17" s="15" t="n">
        <v>0</v>
      </c>
      <c r="I17" s="15" t="n">
        <v>0</v>
      </c>
      <c r="J17" s="15" t="n">
        <v>2.57</v>
      </c>
    </row>
    <row r="18" customFormat="false" ht="15" hidden="false" customHeight="false" outlineLevel="0" collapsed="false">
      <c r="A18" s="13" t="s">
        <v>36</v>
      </c>
      <c r="B18" s="13" t="s">
        <v>26</v>
      </c>
      <c r="C18" s="2" t="s">
        <v>27</v>
      </c>
      <c r="D18" s="2" t="s">
        <v>8</v>
      </c>
      <c r="E18" s="14" t="n">
        <v>3.71</v>
      </c>
      <c r="F18" s="14"/>
      <c r="G18" s="14" t="n">
        <v>0</v>
      </c>
      <c r="H18" s="14" t="n">
        <v>0.58</v>
      </c>
      <c r="I18" s="14" t="n">
        <v>0</v>
      </c>
      <c r="J18" s="14" t="n">
        <v>3.13</v>
      </c>
    </row>
    <row r="19" customFormat="false" ht="15" hidden="false" customHeight="false" outlineLevel="0" collapsed="false">
      <c r="A19" s="8" t="s">
        <v>36</v>
      </c>
      <c r="B19" s="8" t="s">
        <v>26</v>
      </c>
      <c r="C19" s="5" t="s">
        <v>28</v>
      </c>
      <c r="D19" s="5" t="s">
        <v>6</v>
      </c>
      <c r="E19" s="15" t="n">
        <v>1.31</v>
      </c>
      <c r="F19" s="15"/>
      <c r="G19" s="15" t="n">
        <v>0</v>
      </c>
      <c r="H19" s="15" t="n">
        <v>0</v>
      </c>
      <c r="I19" s="15" t="n">
        <v>0</v>
      </c>
      <c r="J19" s="15" t="n">
        <v>1.31</v>
      </c>
    </row>
    <row r="20" customFormat="false" ht="15" hidden="false" customHeight="false" outlineLevel="0" collapsed="false">
      <c r="A20" s="13" t="s">
        <v>36</v>
      </c>
      <c r="B20" s="13" t="s">
        <v>26</v>
      </c>
      <c r="C20" s="2" t="s">
        <v>28</v>
      </c>
      <c r="D20" s="2" t="s">
        <v>5</v>
      </c>
      <c r="E20" s="14" t="n">
        <v>4.13</v>
      </c>
      <c r="F20" s="14"/>
      <c r="G20" s="14" t="n">
        <v>0</v>
      </c>
      <c r="H20" s="14" t="n">
        <v>0</v>
      </c>
      <c r="I20" s="14" t="n">
        <v>0</v>
      </c>
      <c r="J20" s="14" t="n">
        <v>4.13</v>
      </c>
    </row>
    <row r="21" customFormat="false" ht="15" hidden="false" customHeight="false" outlineLevel="0" collapsed="false">
      <c r="A21" s="8" t="s">
        <v>37</v>
      </c>
      <c r="B21" s="8" t="s">
        <v>26</v>
      </c>
      <c r="C21" s="5" t="s">
        <v>27</v>
      </c>
      <c r="D21" s="5" t="s">
        <v>8</v>
      </c>
      <c r="E21" s="15" t="n">
        <v>1.77</v>
      </c>
      <c r="F21" s="15"/>
      <c r="G21" s="15" t="n">
        <v>0</v>
      </c>
      <c r="H21" s="15" t="n">
        <v>0.77</v>
      </c>
      <c r="I21" s="15" t="n">
        <v>0</v>
      </c>
      <c r="J21" s="15" t="n">
        <v>1</v>
      </c>
    </row>
    <row r="22" customFormat="false" ht="15" hidden="false" customHeight="false" outlineLevel="0" collapsed="false">
      <c r="A22" s="13" t="s">
        <v>37</v>
      </c>
      <c r="B22" s="13" t="s">
        <v>26</v>
      </c>
      <c r="C22" s="2" t="s">
        <v>28</v>
      </c>
      <c r="D22" s="2" t="s">
        <v>6</v>
      </c>
      <c r="E22" s="14" t="n">
        <v>0.61</v>
      </c>
      <c r="F22" s="14"/>
      <c r="G22" s="14" t="n">
        <v>0</v>
      </c>
      <c r="H22" s="14" t="n">
        <v>0</v>
      </c>
      <c r="I22" s="14" t="n">
        <v>0</v>
      </c>
      <c r="J22" s="14" t="n">
        <v>0.61</v>
      </c>
    </row>
    <row r="23" customFormat="false" ht="15" hidden="false" customHeight="false" outlineLevel="0" collapsed="false">
      <c r="A23" s="8" t="s">
        <v>37</v>
      </c>
      <c r="B23" s="8" t="s">
        <v>26</v>
      </c>
      <c r="C23" s="5" t="s">
        <v>28</v>
      </c>
      <c r="D23" s="5" t="s">
        <v>5</v>
      </c>
      <c r="E23" s="15" t="n">
        <v>4.27</v>
      </c>
      <c r="F23" s="15"/>
      <c r="G23" s="15" t="n">
        <v>0</v>
      </c>
      <c r="H23" s="15" t="n">
        <v>0</v>
      </c>
      <c r="I23" s="15" t="n">
        <v>0</v>
      </c>
      <c r="J23" s="15" t="n">
        <v>4.27</v>
      </c>
    </row>
    <row r="24" customFormat="false" ht="15" hidden="false" customHeight="false" outlineLevel="0" collapsed="false">
      <c r="A24" s="13" t="s">
        <v>38</v>
      </c>
      <c r="B24" s="13" t="s">
        <v>26</v>
      </c>
      <c r="C24" s="2" t="s">
        <v>28</v>
      </c>
      <c r="D24" s="2" t="s">
        <v>6</v>
      </c>
      <c r="E24" s="14" t="n">
        <v>0.45</v>
      </c>
      <c r="F24" s="14"/>
      <c r="G24" s="14" t="n">
        <v>0</v>
      </c>
      <c r="H24" s="14" t="n">
        <v>0.09</v>
      </c>
      <c r="I24" s="14" t="n">
        <v>0</v>
      </c>
      <c r="J24" s="14" t="n">
        <v>0.36</v>
      </c>
    </row>
    <row r="25" customFormat="false" ht="15" hidden="false" customHeight="false" outlineLevel="0" collapsed="false">
      <c r="A25" s="8" t="s">
        <v>38</v>
      </c>
      <c r="B25" s="8" t="s">
        <v>26</v>
      </c>
      <c r="C25" s="5" t="s">
        <v>28</v>
      </c>
      <c r="D25" s="5" t="s">
        <v>5</v>
      </c>
      <c r="E25" s="15" t="n">
        <v>3.99</v>
      </c>
      <c r="F25" s="15"/>
      <c r="G25" s="15" t="n">
        <v>0</v>
      </c>
      <c r="H25" s="15" t="n">
        <v>0</v>
      </c>
      <c r="I25" s="15" t="n">
        <v>0</v>
      </c>
      <c r="J25" s="15" t="n">
        <v>3.99</v>
      </c>
    </row>
    <row r="26" customFormat="false" ht="15" hidden="false" customHeight="false" outlineLevel="0" collapsed="false">
      <c r="A26" s="13" t="s">
        <v>39</v>
      </c>
      <c r="B26" s="13" t="s">
        <v>26</v>
      </c>
      <c r="C26" s="2" t="s">
        <v>27</v>
      </c>
      <c r="D26" s="2" t="s">
        <v>8</v>
      </c>
      <c r="E26" s="14" t="n">
        <v>1</v>
      </c>
      <c r="F26" s="14"/>
      <c r="G26" s="14" t="n">
        <v>0</v>
      </c>
      <c r="H26" s="14" t="n">
        <v>0.3</v>
      </c>
      <c r="I26" s="14" t="n">
        <v>0</v>
      </c>
      <c r="J26" s="14" t="n">
        <v>0.7</v>
      </c>
    </row>
    <row r="27" customFormat="false" ht="15" hidden="false" customHeight="false" outlineLevel="0" collapsed="false">
      <c r="A27" s="8" t="s">
        <v>39</v>
      </c>
      <c r="B27" s="8" t="s">
        <v>26</v>
      </c>
      <c r="C27" s="5" t="s">
        <v>27</v>
      </c>
      <c r="D27" s="5" t="s">
        <v>6</v>
      </c>
      <c r="E27" s="15" t="n">
        <v>0.38</v>
      </c>
      <c r="F27" s="15"/>
      <c r="G27" s="15" t="n">
        <v>0</v>
      </c>
      <c r="H27" s="15" t="n">
        <v>0</v>
      </c>
      <c r="I27" s="15" t="n">
        <v>0</v>
      </c>
      <c r="J27" s="15" t="n">
        <v>0.38</v>
      </c>
    </row>
    <row r="28" customFormat="false" ht="15" hidden="false" customHeight="false" outlineLevel="0" collapsed="false">
      <c r="A28" s="13" t="s">
        <v>39</v>
      </c>
      <c r="B28" s="13" t="s">
        <v>26</v>
      </c>
      <c r="C28" s="2" t="s">
        <v>28</v>
      </c>
      <c r="D28" s="2" t="s">
        <v>6</v>
      </c>
      <c r="E28" s="14" t="n">
        <v>0.39</v>
      </c>
      <c r="F28" s="14"/>
      <c r="G28" s="14" t="n">
        <v>0</v>
      </c>
      <c r="H28" s="14" t="n">
        <v>0</v>
      </c>
      <c r="I28" s="14" t="n">
        <v>0</v>
      </c>
      <c r="J28" s="14" t="n">
        <v>0.39</v>
      </c>
    </row>
    <row r="29" customFormat="false" ht="15" hidden="false" customHeight="false" outlineLevel="0" collapsed="false">
      <c r="A29" s="8" t="s">
        <v>39</v>
      </c>
      <c r="B29" s="8" t="s">
        <v>26</v>
      </c>
      <c r="C29" s="5" t="s">
        <v>28</v>
      </c>
      <c r="D29" s="5" t="s">
        <v>5</v>
      </c>
      <c r="E29" s="15" t="n">
        <v>4.65</v>
      </c>
      <c r="F29" s="15"/>
      <c r="G29" s="15" t="n">
        <v>0</v>
      </c>
      <c r="H29" s="15" t="n">
        <v>0</v>
      </c>
      <c r="I29" s="15" t="n">
        <v>0</v>
      </c>
      <c r="J29" s="15" t="n">
        <v>4.65</v>
      </c>
    </row>
    <row r="30" customFormat="false" ht="17.15" hidden="false" customHeight="false" outlineLevel="0" collapsed="false">
      <c r="A30" s="13" t="s">
        <v>40</v>
      </c>
      <c r="B30" s="13" t="s">
        <v>26</v>
      </c>
      <c r="C30" s="2" t="s">
        <v>27</v>
      </c>
      <c r="D30" s="13" t="s">
        <v>10</v>
      </c>
      <c r="E30" s="14" t="n">
        <v>1.05</v>
      </c>
      <c r="F30" s="14"/>
      <c r="G30" s="14" t="n">
        <v>0</v>
      </c>
      <c r="H30" s="14" t="n">
        <v>0.16</v>
      </c>
      <c r="I30" s="14" t="n">
        <v>0</v>
      </c>
      <c r="J30" s="14" t="n">
        <v>0.89</v>
      </c>
    </row>
    <row r="31" customFormat="false" ht="15" hidden="false" customHeight="false" outlineLevel="0" collapsed="false">
      <c r="A31" s="8" t="s">
        <v>40</v>
      </c>
      <c r="B31" s="8" t="s">
        <v>26</v>
      </c>
      <c r="C31" s="5" t="s">
        <v>27</v>
      </c>
      <c r="D31" s="5" t="s">
        <v>6</v>
      </c>
      <c r="E31" s="15" t="n">
        <v>0.52</v>
      </c>
      <c r="F31" s="15"/>
      <c r="G31" s="15" t="n">
        <v>0</v>
      </c>
      <c r="H31" s="15" t="n">
        <v>0</v>
      </c>
      <c r="I31" s="15" t="n">
        <v>0</v>
      </c>
      <c r="J31" s="15" t="n">
        <v>0.52</v>
      </c>
    </row>
    <row r="32" customFormat="false" ht="15" hidden="false" customHeight="false" outlineLevel="0" collapsed="false">
      <c r="A32" s="13" t="s">
        <v>40</v>
      </c>
      <c r="B32" s="13" t="s">
        <v>26</v>
      </c>
      <c r="C32" s="2" t="s">
        <v>28</v>
      </c>
      <c r="D32" s="2" t="s">
        <v>5</v>
      </c>
      <c r="E32" s="14" t="n">
        <v>1.5</v>
      </c>
      <c r="F32" s="14"/>
      <c r="G32" s="14" t="n">
        <v>0</v>
      </c>
      <c r="H32" s="14" t="n">
        <v>0</v>
      </c>
      <c r="I32" s="14" t="n">
        <v>0</v>
      </c>
      <c r="J32" s="14" t="n">
        <v>1.5</v>
      </c>
    </row>
    <row r="33" customFormat="false" ht="15" hidden="false" customHeight="false" outlineLevel="0" collapsed="false">
      <c r="A33" s="8" t="s">
        <v>41</v>
      </c>
      <c r="B33" s="8" t="s">
        <v>26</v>
      </c>
      <c r="C33" s="5" t="s">
        <v>27</v>
      </c>
      <c r="D33" s="5" t="s">
        <v>6</v>
      </c>
      <c r="E33" s="15" t="n">
        <v>0.75</v>
      </c>
      <c r="F33" s="15"/>
      <c r="G33" s="15" t="n">
        <v>0</v>
      </c>
      <c r="H33" s="15" t="n">
        <v>0</v>
      </c>
      <c r="I33" s="15" t="n">
        <v>0</v>
      </c>
      <c r="J33" s="15" t="n">
        <v>0.75</v>
      </c>
    </row>
    <row r="34" customFormat="false" ht="15" hidden="false" customHeight="false" outlineLevel="0" collapsed="false">
      <c r="A34" s="13" t="s">
        <v>41</v>
      </c>
      <c r="B34" s="13" t="s">
        <v>26</v>
      </c>
      <c r="C34" s="2" t="s">
        <v>27</v>
      </c>
      <c r="D34" s="2" t="s">
        <v>7</v>
      </c>
      <c r="E34" s="14" t="n">
        <v>4.99</v>
      </c>
      <c r="F34" s="14"/>
      <c r="G34" s="14" t="n">
        <v>0</v>
      </c>
      <c r="H34" s="14" t="n">
        <v>0.84</v>
      </c>
      <c r="I34" s="14" t="n">
        <v>0</v>
      </c>
      <c r="J34" s="14" t="n">
        <v>4.15</v>
      </c>
    </row>
    <row r="35" customFormat="false" ht="15" hidden="false" customHeight="false" outlineLevel="0" collapsed="false">
      <c r="A35" s="8" t="s">
        <v>41</v>
      </c>
      <c r="B35" s="8" t="s">
        <v>26</v>
      </c>
      <c r="C35" s="5" t="s">
        <v>28</v>
      </c>
      <c r="D35" s="5" t="s">
        <v>5</v>
      </c>
      <c r="E35" s="15" t="n">
        <v>2.32</v>
      </c>
      <c r="F35" s="15"/>
      <c r="G35" s="15" t="n">
        <v>0</v>
      </c>
      <c r="H35" s="15" t="n">
        <v>0</v>
      </c>
      <c r="I35" s="15" t="n">
        <v>0</v>
      </c>
      <c r="J35" s="15" t="n">
        <v>2.32</v>
      </c>
    </row>
    <row r="36" customFormat="false" ht="17.15" hidden="false" customHeight="false" outlineLevel="0" collapsed="false">
      <c r="A36" s="13" t="s">
        <v>41</v>
      </c>
      <c r="B36" s="13" t="s">
        <v>26</v>
      </c>
      <c r="C36" s="2" t="s">
        <v>28</v>
      </c>
      <c r="D36" s="2" t="s">
        <v>9</v>
      </c>
      <c r="E36" s="14" t="n">
        <v>0.1</v>
      </c>
      <c r="F36" s="14"/>
      <c r="G36" s="14" t="n">
        <v>0</v>
      </c>
      <c r="H36" s="14" t="n">
        <v>0</v>
      </c>
      <c r="I36" s="14" t="n">
        <v>0</v>
      </c>
      <c r="J36" s="14" t="n">
        <v>0.1</v>
      </c>
    </row>
    <row r="37" customFormat="false" ht="17.15" hidden="false" customHeight="false" outlineLevel="0" collapsed="false">
      <c r="A37" s="8" t="s">
        <v>42</v>
      </c>
      <c r="B37" s="8" t="s">
        <v>26</v>
      </c>
      <c r="C37" s="5" t="s">
        <v>27</v>
      </c>
      <c r="D37" s="8" t="s">
        <v>10</v>
      </c>
      <c r="E37" s="15" t="n">
        <v>2.93</v>
      </c>
      <c r="F37" s="15"/>
      <c r="G37" s="15" t="n">
        <v>0</v>
      </c>
      <c r="H37" s="15" t="n">
        <v>0.27</v>
      </c>
      <c r="I37" s="15" t="n">
        <v>0</v>
      </c>
      <c r="J37" s="15" t="n">
        <v>2.66</v>
      </c>
    </row>
    <row r="38" customFormat="false" ht="15" hidden="false" customHeight="false" outlineLevel="0" collapsed="false">
      <c r="A38" s="13" t="s">
        <v>42</v>
      </c>
      <c r="B38" s="13" t="s">
        <v>26</v>
      </c>
      <c r="C38" s="2" t="s">
        <v>28</v>
      </c>
      <c r="D38" s="2" t="s">
        <v>5</v>
      </c>
      <c r="E38" s="14" t="n">
        <v>2.46</v>
      </c>
      <c r="F38" s="14"/>
      <c r="G38" s="14" t="n">
        <v>0</v>
      </c>
      <c r="H38" s="14" t="n">
        <v>0</v>
      </c>
      <c r="I38" s="14" t="n">
        <v>0</v>
      </c>
      <c r="J38" s="14" t="n">
        <v>2.46</v>
      </c>
    </row>
    <row r="39" customFormat="false" ht="15" hidden="false" customHeight="false" outlineLevel="0" collapsed="false">
      <c r="A39" s="8" t="s">
        <v>43</v>
      </c>
      <c r="B39" s="8" t="s">
        <v>26</v>
      </c>
      <c r="C39" s="5" t="s">
        <v>27</v>
      </c>
      <c r="D39" s="5" t="s">
        <v>6</v>
      </c>
      <c r="E39" s="15" t="n">
        <v>0.66</v>
      </c>
      <c r="F39" s="15"/>
      <c r="G39" s="15" t="n">
        <v>0</v>
      </c>
      <c r="H39" s="15" t="n">
        <v>0</v>
      </c>
      <c r="I39" s="15" t="n">
        <v>0</v>
      </c>
      <c r="J39" s="15" t="n">
        <v>0.66</v>
      </c>
    </row>
    <row r="40" customFormat="false" ht="15" hidden="false" customHeight="false" outlineLevel="0" collapsed="false">
      <c r="A40" s="13" t="s">
        <v>43</v>
      </c>
      <c r="B40" s="13" t="s">
        <v>26</v>
      </c>
      <c r="C40" s="2" t="s">
        <v>27</v>
      </c>
      <c r="D40" s="2" t="s">
        <v>7</v>
      </c>
      <c r="E40" s="14" t="n">
        <v>1.98</v>
      </c>
      <c r="F40" s="14"/>
      <c r="G40" s="14" t="n">
        <v>0</v>
      </c>
      <c r="H40" s="14" t="n">
        <v>0.25</v>
      </c>
      <c r="I40" s="14" t="n">
        <v>0</v>
      </c>
      <c r="J40" s="14" t="n">
        <v>1.73</v>
      </c>
    </row>
    <row r="41" customFormat="false" ht="15" hidden="false" customHeight="false" outlineLevel="0" collapsed="false">
      <c r="A41" s="8" t="s">
        <v>43</v>
      </c>
      <c r="B41" s="8" t="s">
        <v>26</v>
      </c>
      <c r="C41" s="5" t="s">
        <v>28</v>
      </c>
      <c r="D41" s="5" t="s">
        <v>6</v>
      </c>
      <c r="E41" s="15" t="n">
        <v>2.12</v>
      </c>
      <c r="F41" s="15"/>
      <c r="G41" s="15" t="n">
        <v>0</v>
      </c>
      <c r="H41" s="15" t="n">
        <v>0</v>
      </c>
      <c r="I41" s="15" t="n">
        <v>0</v>
      </c>
      <c r="J41" s="15" t="n">
        <v>2.12</v>
      </c>
    </row>
    <row r="42" customFormat="false" ht="15" hidden="false" customHeight="false" outlineLevel="0" collapsed="false">
      <c r="A42" s="13" t="s">
        <v>43</v>
      </c>
      <c r="B42" s="13" t="s">
        <v>26</v>
      </c>
      <c r="C42" s="2" t="s">
        <v>28</v>
      </c>
      <c r="D42" s="2" t="s">
        <v>5</v>
      </c>
      <c r="E42" s="14" t="n">
        <v>1.69</v>
      </c>
      <c r="F42" s="14"/>
      <c r="G42" s="14" t="n">
        <v>0</v>
      </c>
      <c r="H42" s="14" t="n">
        <v>0.03</v>
      </c>
      <c r="I42" s="14" t="n">
        <v>0</v>
      </c>
      <c r="J42" s="14" t="n">
        <v>1.66</v>
      </c>
    </row>
    <row r="43" customFormat="false" ht="15" hidden="false" customHeight="false" outlineLevel="0" collapsed="false">
      <c r="A43" s="8" t="s">
        <v>44</v>
      </c>
      <c r="B43" s="8" t="s">
        <v>26</v>
      </c>
      <c r="C43" s="5" t="s">
        <v>27</v>
      </c>
      <c r="D43" s="5" t="s">
        <v>6</v>
      </c>
      <c r="E43" s="15" t="n">
        <v>0.66</v>
      </c>
      <c r="F43" s="15"/>
      <c r="G43" s="15" t="n">
        <v>0</v>
      </c>
      <c r="H43" s="15" t="n">
        <v>0</v>
      </c>
      <c r="I43" s="15" t="n">
        <v>0</v>
      </c>
      <c r="J43" s="15" t="n">
        <v>0.66</v>
      </c>
    </row>
    <row r="44" customFormat="false" ht="15" hidden="false" customHeight="false" outlineLevel="0" collapsed="false">
      <c r="A44" s="13" t="s">
        <v>44</v>
      </c>
      <c r="B44" s="13" t="s">
        <v>26</v>
      </c>
      <c r="C44" s="2" t="s">
        <v>28</v>
      </c>
      <c r="D44" s="2" t="s">
        <v>6</v>
      </c>
      <c r="E44" s="14" t="n">
        <v>1.77</v>
      </c>
      <c r="F44" s="14"/>
      <c r="G44" s="14" t="n">
        <v>0</v>
      </c>
      <c r="H44" s="14" t="n">
        <v>0</v>
      </c>
      <c r="I44" s="14" t="n">
        <v>0</v>
      </c>
      <c r="J44" s="14" t="n">
        <v>1.77</v>
      </c>
    </row>
    <row r="45" customFormat="false" ht="15" hidden="false" customHeight="false" outlineLevel="0" collapsed="false">
      <c r="A45" s="8" t="s">
        <v>44</v>
      </c>
      <c r="B45" s="8" t="s">
        <v>26</v>
      </c>
      <c r="C45" s="5" t="s">
        <v>28</v>
      </c>
      <c r="D45" s="5" t="s">
        <v>5</v>
      </c>
      <c r="E45" s="15" t="n">
        <v>0.78</v>
      </c>
      <c r="F45" s="15"/>
      <c r="G45" s="15" t="n">
        <v>0</v>
      </c>
      <c r="H45" s="15" t="n">
        <v>0.27</v>
      </c>
      <c r="I45" s="15" t="n">
        <v>0</v>
      </c>
      <c r="J45" s="15" t="n">
        <v>0.51</v>
      </c>
    </row>
    <row r="46" customFormat="false" ht="17.15" hidden="false" customHeight="false" outlineLevel="0" collapsed="false">
      <c r="A46" s="13" t="s">
        <v>44</v>
      </c>
      <c r="B46" s="13" t="s">
        <v>26</v>
      </c>
      <c r="C46" s="2" t="s">
        <v>28</v>
      </c>
      <c r="D46" s="2" t="s">
        <v>9</v>
      </c>
      <c r="E46" s="14" t="n">
        <v>1.84</v>
      </c>
      <c r="F46" s="14"/>
      <c r="G46" s="14" t="n">
        <v>0</v>
      </c>
      <c r="H46" s="14" t="n">
        <v>0</v>
      </c>
      <c r="I46" s="14" t="n">
        <v>0</v>
      </c>
      <c r="J46" s="14" t="n">
        <v>1.84</v>
      </c>
    </row>
    <row r="47" customFormat="false" ht="15" hidden="false" customHeight="false" outlineLevel="0" collapsed="false">
      <c r="A47" s="8" t="s">
        <v>45</v>
      </c>
      <c r="B47" s="8" t="s">
        <v>26</v>
      </c>
      <c r="C47" s="5" t="s">
        <v>27</v>
      </c>
      <c r="D47" s="5" t="s">
        <v>7</v>
      </c>
      <c r="E47" s="15" t="n">
        <v>6.61</v>
      </c>
      <c r="F47" s="15"/>
      <c r="G47" s="15" t="n">
        <v>0</v>
      </c>
      <c r="H47" s="15" t="n">
        <v>1.59</v>
      </c>
      <c r="I47" s="15" t="n">
        <v>0</v>
      </c>
      <c r="J47" s="15" t="n">
        <v>5.02</v>
      </c>
    </row>
    <row r="48" customFormat="false" ht="15" hidden="false" customHeight="false" outlineLevel="0" collapsed="false">
      <c r="A48" s="13" t="s">
        <v>45</v>
      </c>
      <c r="B48" s="13" t="s">
        <v>26</v>
      </c>
      <c r="C48" s="2" t="s">
        <v>28</v>
      </c>
      <c r="D48" s="2" t="s">
        <v>6</v>
      </c>
      <c r="E48" s="14" t="n">
        <v>2.63</v>
      </c>
      <c r="F48" s="14"/>
      <c r="G48" s="14" t="n">
        <v>0</v>
      </c>
      <c r="H48" s="14" t="n">
        <v>0</v>
      </c>
      <c r="I48" s="14" t="n">
        <v>0</v>
      </c>
      <c r="J48" s="14" t="n">
        <v>2.63</v>
      </c>
    </row>
    <row r="49" customFormat="false" ht="17.15" hidden="false" customHeight="false" outlineLevel="0" collapsed="false">
      <c r="A49" s="8" t="s">
        <v>45</v>
      </c>
      <c r="B49" s="8" t="s">
        <v>26</v>
      </c>
      <c r="C49" s="5" t="s">
        <v>28</v>
      </c>
      <c r="D49" s="5" t="s">
        <v>9</v>
      </c>
      <c r="E49" s="15" t="n">
        <v>2.15</v>
      </c>
      <c r="F49" s="15"/>
      <c r="G49" s="15" t="n">
        <v>0</v>
      </c>
      <c r="H49" s="15" t="n">
        <v>0</v>
      </c>
      <c r="I49" s="15" t="n">
        <v>0</v>
      </c>
      <c r="J49" s="15" t="n">
        <v>2.15</v>
      </c>
    </row>
    <row r="50" customFormat="false" ht="15" hidden="false" customHeight="false" outlineLevel="0" collapsed="false">
      <c r="A50" s="13" t="s">
        <v>46</v>
      </c>
      <c r="B50" s="13" t="s">
        <v>26</v>
      </c>
      <c r="C50" s="2" t="s">
        <v>27</v>
      </c>
      <c r="D50" s="2" t="s">
        <v>6</v>
      </c>
      <c r="E50" s="14" t="n">
        <v>0.33</v>
      </c>
      <c r="F50" s="14"/>
      <c r="G50" s="14" t="n">
        <v>0</v>
      </c>
      <c r="H50" s="14" t="n">
        <v>0</v>
      </c>
      <c r="I50" s="14" t="n">
        <v>0</v>
      </c>
      <c r="J50" s="14" t="n">
        <v>0.33</v>
      </c>
    </row>
    <row r="51" customFormat="false" ht="15" hidden="false" customHeight="false" outlineLevel="0" collapsed="false">
      <c r="A51" s="8" t="s">
        <v>46</v>
      </c>
      <c r="B51" s="8" t="s">
        <v>26</v>
      </c>
      <c r="C51" s="5" t="s">
        <v>27</v>
      </c>
      <c r="D51" s="5" t="s">
        <v>7</v>
      </c>
      <c r="E51" s="15" t="n">
        <v>4.01</v>
      </c>
      <c r="F51" s="15"/>
      <c r="G51" s="15" t="n">
        <v>0</v>
      </c>
      <c r="H51" s="15" t="n">
        <v>0</v>
      </c>
      <c r="I51" s="15" t="n">
        <v>0</v>
      </c>
      <c r="J51" s="15" t="n">
        <v>4.01</v>
      </c>
    </row>
    <row r="52" customFormat="false" ht="15" hidden="false" customHeight="false" outlineLevel="0" collapsed="false">
      <c r="A52" s="13" t="s">
        <v>46</v>
      </c>
      <c r="B52" s="13" t="s">
        <v>26</v>
      </c>
      <c r="C52" s="2" t="s">
        <v>28</v>
      </c>
      <c r="D52" s="2" t="s">
        <v>6</v>
      </c>
      <c r="E52" s="14" t="n">
        <v>2.55</v>
      </c>
      <c r="F52" s="14"/>
      <c r="G52" s="14" t="n">
        <v>0</v>
      </c>
      <c r="H52" s="14" t="n">
        <v>0</v>
      </c>
      <c r="I52" s="14" t="n">
        <v>0</v>
      </c>
      <c r="J52" s="14" t="n">
        <v>2.55</v>
      </c>
    </row>
    <row r="53" customFormat="false" ht="15" hidden="false" customHeight="false" outlineLevel="0" collapsed="false">
      <c r="A53" s="8" t="s">
        <v>46</v>
      </c>
      <c r="B53" s="8" t="s">
        <v>26</v>
      </c>
      <c r="C53" s="5" t="s">
        <v>28</v>
      </c>
      <c r="D53" s="5" t="s">
        <v>5</v>
      </c>
      <c r="E53" s="15" t="n">
        <v>1.04</v>
      </c>
      <c r="F53" s="15"/>
      <c r="G53" s="15" t="n">
        <v>0</v>
      </c>
      <c r="H53" s="15" t="n">
        <v>0</v>
      </c>
      <c r="I53" s="15" t="n">
        <v>0</v>
      </c>
      <c r="J53" s="15" t="n">
        <v>1.04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2026-10-20T15:05:10Z</dcterms:created>
  <dc:creator>openpyxl</dc:creator>
  <dc:description/>
  <dc:language>en-US</dc:language>
  <cp:lastModifiedBy/>
  <dcterms:modified xsi:type="dcterms:W3CDTF">2026-10-20T15:05:10Z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